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sh\Documents\Portfolio\"/>
    </mc:Choice>
  </mc:AlternateContent>
  <xr:revisionPtr revIDLastSave="0" documentId="13_ncr:1_{59A0F39F-85C7-407B-AAEB-17A47133DF2E}" xr6:coauthVersionLast="47" xr6:coauthVersionMax="47" xr10:uidLastSave="{00000000-0000-0000-0000-000000000000}"/>
  <bookViews>
    <workbookView xWindow="-120" yWindow="-120" windowWidth="38640" windowHeight="21240" xr2:uid="{8F945F3C-9791-440A-B22E-CB946AC9171F}"/>
  </bookViews>
  <sheets>
    <sheet name="Waitlist" sheetId="1" r:id="rId1"/>
    <sheet name="Closed" sheetId="2" r:id="rId2"/>
    <sheet name="Master Sheet" sheetId="3" state="hidden" r:id="rId3"/>
  </sheets>
  <definedNames>
    <definedName name="_xlcn.WorksheetConnection_WaitlistMaster.xlsmPriority11" hidden="1">Priority1[]</definedName>
    <definedName name="_xlcn.WorksheetConnection_WaitlistMaster.xlsmPriority21" hidden="1">Priority2[]</definedName>
    <definedName name="_xlcn.WorksheetConnection_WaitlistMaster.xlsmPriority61" hidden="1">Priority6[]</definedName>
    <definedName name="Priority_List">'Master Sheet'!$A$2:$A$7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iority6" name="Priority6" connection="WorksheetConnection_Waitlist Master.xlsm!Priority6"/>
          <x15:modelTable id="Priority2" name="Priority2" connection="WorksheetConnection_Waitlist Master.xlsm!Priority2"/>
          <x15:modelTable id="Priority1" name="Priority1" connection="WorksheetConnection_Waitlist Master.xlsm!Priority1"/>
        </x15:modelTables>
        <x15:extLst>
          <ext xmlns:x16="http://schemas.microsoft.com/office/spreadsheetml/2014/11/main" uri="{9835A34E-60A6-4A7C-AAB8-D5F71C897F49}">
            <x16:modelTimeGroupings>
              <x16:modelTimeGrouping tableName="Priority1" columnName="Date Added" columnId="Date Added">
                <x16:calculatedTimeColumn columnName="Date Added (Year)" columnId="Date Added (Year)" contentType="years" isSelected="1"/>
                <x16:calculatedTimeColumn columnName="Date Added (Quarter)" columnId="Date Added (Quarter)" contentType="quarters" isSelected="1"/>
                <x16:calculatedTimeColumn columnName="Date Added (Month Index)" columnId="Date Added (Month Index)" contentType="monthsindex" isSelected="1"/>
                <x16:calculatedTimeColumn columnName="Date Added (Month)" columnId="Date Added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2" i="1" l="1"/>
  <c r="A23" i="1"/>
  <c r="A24" i="1"/>
  <c r="A25" i="1"/>
  <c r="A26" i="1"/>
  <c r="A27" i="1"/>
  <c r="A28" i="1"/>
  <c r="A29" i="1"/>
  <c r="A30" i="1"/>
  <c r="A31" i="1"/>
  <c r="A32" i="1"/>
  <c r="A21" i="1" l="1"/>
  <c r="A18" i="1"/>
  <c r="A15" i="1"/>
  <c r="A12" i="1"/>
  <c r="A9" i="1"/>
  <c r="A6" i="1"/>
  <c r="B19" i="1"/>
  <c r="B7" i="1"/>
  <c r="B16" i="1" l="1"/>
  <c r="B13" i="1"/>
  <c r="B10" i="1"/>
  <c r="B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C942CD-64BA-4EC3-8256-A0D65F85EA89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EDD1045-6978-4DEA-8261-D66A8E38087C}" name="WorksheetConnection_Waitlist Master.xlsm!Priority1" type="102" refreshedVersion="7" minRefreshableVersion="5">
    <extLst>
      <ext xmlns:x15="http://schemas.microsoft.com/office/spreadsheetml/2010/11/main" uri="{DE250136-89BD-433C-8126-D09CA5730AF9}">
        <x15:connection id="Priority1">
          <x15:rangePr sourceName="_xlcn.WorksheetConnection_WaitlistMaster.xlsmPriority11"/>
        </x15:connection>
      </ext>
    </extLst>
  </connection>
  <connection id="3" xr16:uid="{BFE504E2-3EBC-4E84-8763-C0D11A37B4F5}" name="WorksheetConnection_Waitlist Master.xlsm!Priority2" type="102" refreshedVersion="7" minRefreshableVersion="5">
    <extLst>
      <ext xmlns:x15="http://schemas.microsoft.com/office/spreadsheetml/2010/11/main" uri="{DE250136-89BD-433C-8126-D09CA5730AF9}">
        <x15:connection id="Priority2">
          <x15:rangePr sourceName="_xlcn.WorksheetConnection_WaitlistMaster.xlsmPriority21"/>
        </x15:connection>
      </ext>
    </extLst>
  </connection>
  <connection id="4" xr16:uid="{E2EB3020-78F8-4F2A-9DC3-A3AE7DE5EC07}" name="WorksheetConnection_Waitlist Master.xlsm!Priority6" type="102" refreshedVersion="7" minRefreshableVersion="5">
    <extLst>
      <ext xmlns:x15="http://schemas.microsoft.com/office/spreadsheetml/2010/11/main" uri="{DE250136-89BD-433C-8126-D09CA5730AF9}">
        <x15:connection id="Priority6">
          <x15:rangePr sourceName="_xlcn.WorksheetConnection_WaitlistMaster.xlsmPriority61"/>
        </x15:connection>
      </ext>
    </extLst>
  </connection>
</connections>
</file>

<file path=xl/sharedStrings.xml><?xml version="1.0" encoding="utf-8"?>
<sst xmlns="http://schemas.openxmlformats.org/spreadsheetml/2006/main" count="208" uniqueCount="60">
  <si>
    <t>Property:</t>
  </si>
  <si>
    <t>Date:</t>
  </si>
  <si>
    <t>Date Added</t>
  </si>
  <si>
    <t>First Name</t>
  </si>
  <si>
    <t>Last Name</t>
  </si>
  <si>
    <t>Phone</t>
  </si>
  <si>
    <t>Email</t>
  </si>
  <si>
    <t>Source</t>
  </si>
  <si>
    <t>30%</t>
  </si>
  <si>
    <t>40%</t>
  </si>
  <si>
    <t>45%</t>
  </si>
  <si>
    <t>50%</t>
  </si>
  <si>
    <t>60%</t>
  </si>
  <si>
    <t>Market Rate</t>
  </si>
  <si>
    <t>1 Bedroom</t>
  </si>
  <si>
    <t>2 Bedroom</t>
  </si>
  <si>
    <t>3 Bedroom</t>
  </si>
  <si>
    <t>Additional Comments</t>
  </si>
  <si>
    <t>Blank. Leave at top of table</t>
  </si>
  <si>
    <t>Priority</t>
  </si>
  <si>
    <t>Date Closed</t>
  </si>
  <si>
    <t>Priorities</t>
  </si>
  <si>
    <t>1. Reasonable Accommodation</t>
  </si>
  <si>
    <t>2. Current Resident - Lower AMI. Pull most recent WCMS Report.  Revisit prior residents annually that did not qualify when the last new income limits were published.</t>
  </si>
  <si>
    <t>3. Current Resident - Non-Financial</t>
  </si>
  <si>
    <t>4. Voucher Holder</t>
  </si>
  <si>
    <t>5. Sister Property</t>
  </si>
  <si>
    <t>6. General Public</t>
  </si>
  <si>
    <t>Column1</t>
  </si>
  <si>
    <t>Column2</t>
  </si>
  <si>
    <t>Thomas</t>
  </si>
  <si>
    <t>Barbara</t>
  </si>
  <si>
    <t>Brooks</t>
  </si>
  <si>
    <t>Michael</t>
  </si>
  <si>
    <t>Connie</t>
  </si>
  <si>
    <t>Nancy</t>
  </si>
  <si>
    <t>Randy</t>
  </si>
  <si>
    <t>Nesavich</t>
  </si>
  <si>
    <t xml:space="preserve">Open </t>
  </si>
  <si>
    <t>Macdonald</t>
  </si>
  <si>
    <t>$1,550/mo left message 11/7/19 6/24/2020 LM--- Called/left vcmail 8/25/20  5/18/21-VM.07/09/2021 left vm. 9/27/2021 Left msg.</t>
  </si>
  <si>
    <t>1884/mo left message 11/7/19  6/26/2020 LM---- Called/left vcmail 8/25/20  5/18/21-VM.07/09/2021 left vm.9/27/2021 Left msg.</t>
  </si>
  <si>
    <t>Weikum</t>
  </si>
  <si>
    <t xml:space="preserve"> 11/7/19 left message 7/23/20 Left Message  5/18/21-VM.07/09/2021 left vm</t>
  </si>
  <si>
    <t>Cole</t>
  </si>
  <si>
    <t>Carmelita</t>
  </si>
  <si>
    <t>Levitt</t>
  </si>
  <si>
    <t>Open  left message 5/17/2021   Just signed lease until Aug. 2022. Wants to stay on list. 9/24/2021LM 3/10/2022</t>
  </si>
  <si>
    <t>Open left message 5/17/2021 Left message 9/24/2021-LM 3/3/2022-LM 3/10/2022</t>
  </si>
  <si>
    <t>Open 5/17/21 Left voice mail. Left message 9/24/2021-LM 3/3/2022-LM 3/10/2022</t>
  </si>
  <si>
    <t>Lynda</t>
  </si>
  <si>
    <t>O'Bayley</t>
  </si>
  <si>
    <t>Freda</t>
  </si>
  <si>
    <t>Melons</t>
  </si>
  <si>
    <t>Sharron</t>
  </si>
  <si>
    <t>Sewll-Martin</t>
  </si>
  <si>
    <t xml:space="preserve">Open  </t>
  </si>
  <si>
    <t>Fritsche</t>
  </si>
  <si>
    <t xml:space="preserve">
Reason for Close</t>
  </si>
  <si>
    <t>Sai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</si>
</sst>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sz val="8"/>
      <name val="Calibri"/>
      <family val="2"/>
      <scheme val="minor"/>
    </font>
    <font>
      <sz val="1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14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left"/>
    </xf>
    <xf numFmtId="9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14" fontId="2" fillId="2" borderId="0" xfId="0" applyNumberFormat="1" applyFont="1" applyFill="1" applyAlignment="1">
      <alignment horizontal="left"/>
    </xf>
    <xf numFmtId="0" fontId="0" fillId="2" borderId="0" xfId="0" applyFill="1" applyAlignment="1">
      <alignment horizontal="left"/>
    </xf>
    <xf numFmtId="9" fontId="0" fillId="2" borderId="0" xfId="0" applyNumberFormat="1" applyFill="1" applyAlignment="1">
      <alignment horizontal="center"/>
    </xf>
    <xf numFmtId="0" fontId="0" fillId="2" borderId="0" xfId="0" applyFill="1" applyAlignment="1">
      <alignment horizontal="left" wrapText="1"/>
    </xf>
    <xf numFmtId="9" fontId="2" fillId="2" borderId="0" xfId="0" applyNumberFormat="1" applyFont="1" applyFill="1" applyAlignment="1">
      <alignment horizontal="center"/>
    </xf>
    <xf numFmtId="14" fontId="2" fillId="2" borderId="0" xfId="0" applyNumberFormat="1" applyFont="1" applyFill="1" applyAlignment="1">
      <alignment horizontal="left" wrapText="1"/>
    </xf>
    <xf numFmtId="14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9" fontId="1" fillId="0" borderId="0" xfId="0" applyNumberFormat="1" applyFont="1" applyAlignment="1">
      <alignment horizontal="center"/>
    </xf>
    <xf numFmtId="0" fontId="0" fillId="0" borderId="2" xfId="0" applyBorder="1" applyAlignment="1">
      <alignment horizontal="left" wrapText="1"/>
    </xf>
    <xf numFmtId="14" fontId="0" fillId="0" borderId="0" xfId="0" applyNumberFormat="1" applyAlignment="1" applyProtection="1">
      <alignment horizontal="left"/>
    </xf>
    <xf numFmtId="0" fontId="0" fillId="0" borderId="0" xfId="0" applyNumberFormat="1" applyAlignment="1">
      <alignment horizontal="center"/>
    </xf>
    <xf numFmtId="0" fontId="1" fillId="0" borderId="1" xfId="0" applyNumberFormat="1" applyFont="1" applyBorder="1" applyAlignment="1">
      <alignment horizontal="left"/>
    </xf>
    <xf numFmtId="0" fontId="0" fillId="2" borderId="0" xfId="0" applyNumberFormat="1" applyFill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2" fillId="2" borderId="0" xfId="0" applyNumberFormat="1" applyFont="1" applyFill="1" applyAlignment="1">
      <alignment horizontal="center"/>
    </xf>
    <xf numFmtId="0" fontId="1" fillId="0" borderId="0" xfId="0" applyNumberFormat="1" applyFont="1" applyAlignment="1">
      <alignment horizontal="center"/>
    </xf>
    <xf numFmtId="0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 applyProtection="1">
      <alignment horizontal="center"/>
    </xf>
    <xf numFmtId="0" fontId="0" fillId="0" borderId="0" xfId="0" applyProtection="1"/>
    <xf numFmtId="1" fontId="0" fillId="0" borderId="0" xfId="0" applyNumberFormat="1" applyAlignment="1" applyProtection="1">
      <alignment horizontal="center"/>
      <protection locked="0"/>
    </xf>
    <xf numFmtId="0" fontId="1" fillId="0" borderId="0" xfId="0" applyFont="1" applyAlignment="1">
      <alignment horizontal="left" vertical="center" wrapText="1"/>
    </xf>
  </cellXfs>
  <cellStyles count="1">
    <cellStyle name="Normal" xfId="0" builtinId="0"/>
  </cellStyles>
  <dxfs count="14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numFmt numFmtId="19" formatCode="m/d/yyyy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1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numFmt numFmtId="19" formatCode="m/d/yyyy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theme="1"/>
        </top>
      </border>
    </dxf>
    <dxf>
      <protection locked="0" hidden="0"/>
    </dxf>
    <dxf>
      <border outline="0">
        <bottom style="thin">
          <color theme="1"/>
        </bottom>
      </border>
    </dxf>
    <dxf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1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numFmt numFmtId="19" formatCode="m/d/yyyy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theme="1"/>
        </top>
      </border>
    </dxf>
    <dxf>
      <protection locked="0" hidden="0"/>
    </dxf>
    <dxf>
      <border outline="0">
        <bottom style="thin">
          <color theme="1"/>
        </bottom>
      </border>
    </dxf>
    <dxf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1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numFmt numFmtId="19" formatCode="m/d/yyyy"/>
      <alignment horizontal="left" vertical="bottom" textRotation="0" wrapText="0" indent="0" justifyLastLine="0" shrinkToFit="0" readingOrder="0"/>
      <protection locked="1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theme="1"/>
        </top>
      </border>
    </dxf>
    <dxf>
      <protection locked="0" hidden="0"/>
    </dxf>
    <dxf>
      <border outline="0">
        <bottom style="thin">
          <color theme="1"/>
        </bottom>
      </border>
    </dxf>
    <dxf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1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numFmt numFmtId="19" formatCode="m/d/yyyy"/>
      <alignment horizontal="left" vertical="bottom" textRotation="0" wrapText="0" indent="0" justifyLastLine="0" shrinkToFit="0" readingOrder="0"/>
      <protection locked="1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theme="1"/>
        </top>
      </border>
    </dxf>
    <dxf>
      <protection locked="0" hidden="0"/>
    </dxf>
    <dxf>
      <border outline="0">
        <bottom style="thin">
          <color theme="1"/>
        </bottom>
      </border>
    </dxf>
    <dxf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1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13" formatCode="0%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numFmt numFmtId="19" formatCode="m/d/yyyy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connections" Target="connections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0</xdr:rowOff>
        </xdr:from>
        <xdr:to>
          <xdr:col>16</xdr:col>
          <xdr:colOff>2352675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Applicant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2352675</xdr:colOff>
          <xdr:row>0</xdr:row>
          <xdr:rowOff>0</xdr:rowOff>
        </xdr:from>
        <xdr:to>
          <xdr:col>16</xdr:col>
          <xdr:colOff>4572000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Applicant</a:t>
              </a:r>
            </a:p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ApplicantC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1762125</xdr:colOff>
          <xdr:row>0</xdr:row>
          <xdr:rowOff>0</xdr:rowOff>
        </xdr:from>
        <xdr:to>
          <xdr:col>19</xdr:col>
          <xdr:colOff>0</xdr:colOff>
          <xdr:row>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Reopen Applicant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454B07-A329-4907-931E-13BCC5C46D17}" name="Priority1" displayName="Priority1" ref="A5:Q6" totalsRowShown="0" headerRowDxfId="145" dataDxfId="144">
  <autoFilter ref="A5:Q6" xr:uid="{70454B07-A329-4907-931E-13BCC5C46D1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sortState xmlns:xlrd2="http://schemas.microsoft.com/office/spreadsheetml/2017/richdata2" ref="A6:Q6">
    <sortCondition ref="B6"/>
  </sortState>
  <tableColumns count="17">
    <tableColumn id="4" xr3:uid="{D536B6A0-5917-4F8B-B719-7F87F6FD47FE}" name="Priority" dataDxfId="143">
      <calculatedColumnFormula>IF(Priority1[[#This Row],[Date Added]]&lt;&gt;"",1,"")</calculatedColumnFormula>
    </tableColumn>
    <tableColumn id="1" xr3:uid="{B33234CA-7ED0-40F8-8F34-C01C70AFCEDF}" name="Date Added" dataDxfId="142"/>
    <tableColumn id="2" xr3:uid="{6AE76962-AD52-4994-962D-9E4A13B1CE79}" name="First Name" dataDxfId="141"/>
    <tableColumn id="3" xr3:uid="{698AE73A-6941-45B7-A9C3-D5BB7740A261}" name="Last Name" dataDxfId="140"/>
    <tableColumn id="8" xr3:uid="{0FEF885C-972B-470D-A53F-6B58147A78B4}" name="Phone" dataDxfId="139"/>
    <tableColumn id="9" xr3:uid="{B00B3AD6-AE37-4163-B241-3E587EE609B4}" name="Email" dataDxfId="138"/>
    <tableColumn id="10" xr3:uid="{019F2BB0-5233-42D0-B799-863BDC620717}" name="Source" dataDxfId="137"/>
    <tableColumn id="11" xr3:uid="{BD7A3FA0-D25E-435F-9B27-9DC6059633DE}" name="1 Bedroom" dataDxfId="136"/>
    <tableColumn id="12" xr3:uid="{F68DD2D5-593D-428D-909A-0F70DE9998DB}" name="2 Bedroom" dataDxfId="135"/>
    <tableColumn id="20" xr3:uid="{C333F8FC-8878-41E8-9F7A-B684698F3082}" name="3 Bedroom" dataDxfId="134"/>
    <tableColumn id="19" xr3:uid="{2AE7FD85-07A9-4B48-AC04-0FEEA9CB9960}" name="30%" dataDxfId="133"/>
    <tableColumn id="21" xr3:uid="{720E740B-75BA-4E36-98F1-BC11A4328A5B}" name="40%" dataDxfId="132"/>
    <tableColumn id="13" xr3:uid="{5B303DBC-B7A9-4A5A-8C15-5A2C9020104D}" name="45%" dataDxfId="131"/>
    <tableColumn id="14" xr3:uid="{7E4D41DC-5715-4EBB-BD11-6D85D6BD00E9}" name="50%" dataDxfId="130"/>
    <tableColumn id="15" xr3:uid="{BAD53956-2080-4A23-B54C-DA8641351419}" name="60%" dataDxfId="129"/>
    <tableColumn id="16" xr3:uid="{072DECB2-3FC7-434E-BCC1-58F2B6ABE8EB}" name="Market Rate" dataDxfId="128"/>
    <tableColumn id="17" xr3:uid="{468FE885-BAF3-4F43-A7AC-BE8B845D1BFC}" name="Additional Comments" dataDxfId="12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C0F293-345F-4E81-AE2F-7076856C9E15}" name="Priority2" displayName="Priority2" ref="A8:Q9" totalsRowShown="0" headerRowDxfId="126" dataDxfId="124" headerRowBorderDxfId="125" tableBorderDxfId="123">
  <autoFilter ref="A8:Q9" xr:uid="{12C0F293-345F-4E81-AE2F-7076856C9E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sortState xmlns:xlrd2="http://schemas.microsoft.com/office/spreadsheetml/2017/richdata2" ref="A9:Q9">
    <sortCondition ref="B9"/>
  </sortState>
  <tableColumns count="17">
    <tableColumn id="16" xr3:uid="{3E2ED384-C4AB-4165-B3A7-D6542670C456}" name="Priority" dataDxfId="122">
      <calculatedColumnFormula>IF(Priority2[[#This Row],[Date Added]]&lt;&gt;"",2,"")</calculatedColumnFormula>
    </tableColumn>
    <tableColumn id="1" xr3:uid="{ECB9970E-C8CF-4E85-8E89-832635C92D16}" name="Date Added" dataDxfId="121"/>
    <tableColumn id="2" xr3:uid="{51802828-0656-449E-B6F1-BCBE174DF3A2}" name="First Name" dataDxfId="120"/>
    <tableColumn id="3" xr3:uid="{71452E67-8533-4B10-B2D9-F66284BD310E}" name="Last Name" dataDxfId="119"/>
    <tableColumn id="4" xr3:uid="{257874BF-3202-4B39-879E-25846CFCF60C}" name="Phone" dataDxfId="118"/>
    <tableColumn id="5" xr3:uid="{27BB8CFF-F48D-4676-B7C2-78B4896D057D}" name="Email" dataDxfId="117"/>
    <tableColumn id="6" xr3:uid="{C11D7389-D92C-4A6A-82C1-787E796FE1F5}" name="Source" dataDxfId="116"/>
    <tableColumn id="7" xr3:uid="{F12AA675-7040-4AEB-B3C5-7BBC430C529A}" name="1 Bedroom" dataDxfId="115"/>
    <tableColumn id="8" xr3:uid="{C98F957C-D12F-45DE-9B6F-36365572D096}" name="2 Bedroom" dataDxfId="114"/>
    <tableColumn id="9" xr3:uid="{B83CAA65-E32B-4DB0-8D6B-30094C6A3EC7}" name="3 Bedroom" dataDxfId="113"/>
    <tableColumn id="10" xr3:uid="{005D3B95-A1AD-4988-980B-61F2CCE07442}" name="30%" dataDxfId="112"/>
    <tableColumn id="19" xr3:uid="{78BBFE5F-B707-44B0-81C5-467A1DB3375D}" name="40%" dataDxfId="111"/>
    <tableColumn id="11" xr3:uid="{A3A6CDD3-FCAF-487D-A916-01A79D90AD93}" name="45%" dataDxfId="110"/>
    <tableColumn id="12" xr3:uid="{CAB838AE-C8A0-4781-84DB-CC9695118B08}" name="50%" dataDxfId="109"/>
    <tableColumn id="13" xr3:uid="{D06D0BA2-4A20-4028-8A01-63A74247BB23}" name="60%" dataDxfId="108"/>
    <tableColumn id="14" xr3:uid="{89DEB482-A943-49DA-AB6A-86343907CFC7}" name="Market Rate" dataDxfId="107"/>
    <tableColumn id="15" xr3:uid="{B0688F9E-F78E-4BC5-94A7-2C83C60DFE99}" name="Additional Comments" dataDxfId="10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3806906-9FCF-4018-9DFB-07A444D6870B}" name="Priority4" displayName="Priority4" ref="A14:Q15" totalsRowShown="0" headerRowDxfId="105" dataDxfId="103" headerRowBorderDxfId="104" tableBorderDxfId="102">
  <autoFilter ref="A14:Q15" xr:uid="{13806906-9FCF-4018-9DFB-07A444D687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sortState xmlns:xlrd2="http://schemas.microsoft.com/office/spreadsheetml/2017/richdata2" ref="B15:Q15">
    <sortCondition ref="B14:B15"/>
  </sortState>
  <tableColumns count="17">
    <tableColumn id="16" xr3:uid="{B887E405-F4CF-43CF-BDBA-5BE7AA73E0A0}" name="Priority" dataDxfId="101">
      <calculatedColumnFormula>IF(Priority4[[#This Row],[Date Added]]&lt;&gt;"",4,"")</calculatedColumnFormula>
    </tableColumn>
    <tableColumn id="1" xr3:uid="{765EB287-92A2-414C-BD5A-E636623BAFD8}" name="Date Added" dataDxfId="100"/>
    <tableColumn id="2" xr3:uid="{125781D6-65A4-4BCD-8511-EE953BA09AFC}" name="First Name" dataDxfId="99"/>
    <tableColumn id="3" xr3:uid="{380F6F26-7983-4451-8B87-CBAAD30F5BEA}" name="Last Name" dataDxfId="98"/>
    <tableColumn id="4" xr3:uid="{DE347B55-E1B8-4326-8735-B0BF205DA6B4}" name="Phone" dataDxfId="97"/>
    <tableColumn id="5" xr3:uid="{7EE4BE00-F414-4556-99D5-7BBB4BD0370E}" name="Email" dataDxfId="96"/>
    <tableColumn id="6" xr3:uid="{70EBE0DF-E979-4FCE-BCB1-866D8C579433}" name="Source" dataDxfId="95"/>
    <tableColumn id="7" xr3:uid="{5305C9CB-104B-4CB4-8131-E74BAA1999B6}" name="1 Bedroom" dataDxfId="94"/>
    <tableColumn id="8" xr3:uid="{37BF19B8-CD09-4B8C-B171-FABCF1ABE2E7}" name="2 Bedroom" dataDxfId="93"/>
    <tableColumn id="9" xr3:uid="{B48432B7-C9D5-436D-B4B2-778FBC59E890}" name="3 Bedroom" dataDxfId="92"/>
    <tableColumn id="10" xr3:uid="{343617CB-1F99-4387-8395-74F47E784C3D}" name="30%" dataDxfId="91"/>
    <tableColumn id="11" xr3:uid="{70499495-9590-47F0-966D-8A3995549A3A}" name="40%" dataDxfId="90"/>
    <tableColumn id="12" xr3:uid="{06634BCE-1086-416A-B04E-EC274AD0F37A}" name="45%" dataDxfId="89"/>
    <tableColumn id="13" xr3:uid="{B130C141-35B4-41B7-BCA0-CE3D57179E3B}" name="50%" dataDxfId="88"/>
    <tableColumn id="14" xr3:uid="{E7D0B751-651E-45EE-B0B4-130C5D0A6079}" name="60%" dataDxfId="87"/>
    <tableColumn id="15" xr3:uid="{5BC5C7C1-D381-41E3-BFDD-4033B0C7112F}" name="Market Rate" dataDxfId="86"/>
    <tableColumn id="19" xr3:uid="{1F617915-5BBD-4E92-BB24-850F089A824F}" name="Additional Comments" dataDxfId="8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58FC89-65D7-48B7-8640-D18AFCC10CD3}" name="Priority5" displayName="Priority5" ref="A17:Q18" totalsRowShown="0" headerRowDxfId="84" dataDxfId="82" headerRowBorderDxfId="83" tableBorderDxfId="81">
  <autoFilter ref="A17:Q18" xr:uid="{D058FC89-65D7-48B7-8640-D18AFCC10C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sortState xmlns:xlrd2="http://schemas.microsoft.com/office/spreadsheetml/2017/richdata2" ref="A18:Q18">
    <sortCondition ref="B18"/>
  </sortState>
  <tableColumns count="17">
    <tableColumn id="16" xr3:uid="{DD867C49-0103-46B5-97BB-3FE0E041225C}" name="Priority" dataDxfId="80">
      <calculatedColumnFormula>IF(Priority5[[#This Row],[Date Added]]&lt;&gt;"",5,"")</calculatedColumnFormula>
    </tableColumn>
    <tableColumn id="1" xr3:uid="{027918EA-6111-4AEF-A9D2-6A2085D07189}" name="Date Added" dataDxfId="79"/>
    <tableColumn id="2" xr3:uid="{2439DDEE-7AFB-4780-8122-13E89C05EDB5}" name="First Name" dataDxfId="78"/>
    <tableColumn id="3" xr3:uid="{6C885F67-8F6B-40E3-895F-4CB393A829B4}" name="Last Name" dataDxfId="77"/>
    <tableColumn id="4" xr3:uid="{76F7BEBF-E980-4DF1-A6C7-0232B15AEBA7}" name="Phone" dataDxfId="76"/>
    <tableColumn id="5" xr3:uid="{03279CAC-DC17-4C45-AE8F-97DBED296C78}" name="Email" dataDxfId="75"/>
    <tableColumn id="6" xr3:uid="{932BD291-FDE9-42B6-B5A1-50FB46FEBE72}" name="Source" dataDxfId="74"/>
    <tableColumn id="7" xr3:uid="{B9A95BAE-EFA4-4897-85C1-862AB453B7A7}" name="1 Bedroom" dataDxfId="73"/>
    <tableColumn id="8" xr3:uid="{F25ECEF7-3C2A-47FC-8860-72BCD6FBFE52}" name="2 Bedroom" dataDxfId="72"/>
    <tableColumn id="9" xr3:uid="{2174CE8A-094E-4544-8BC0-94F57B90E444}" name="3 Bedroom" dataDxfId="71"/>
    <tableColumn id="10" xr3:uid="{95481182-BF89-44CB-8DBF-EE1276698936}" name="30%" dataDxfId="70"/>
    <tableColumn id="11" xr3:uid="{85A42F49-81D7-42F4-B5CB-471DCB7FD47B}" name="40%" dataDxfId="69"/>
    <tableColumn id="12" xr3:uid="{5FFA3AB1-ACE4-418C-A966-F77FC1094004}" name="45%" dataDxfId="68"/>
    <tableColumn id="13" xr3:uid="{143A7D07-0D8E-4ED5-A69C-33549E3DBC44}" name="50%" dataDxfId="67"/>
    <tableColumn id="14" xr3:uid="{DC5DF08F-35E7-44CD-A10B-F46070CB71B3}" name="60%" dataDxfId="66"/>
    <tableColumn id="15" xr3:uid="{F964D7F8-88AA-4ABE-B003-11BD9BB8CB07}" name="Market Rate" dataDxfId="65"/>
    <tableColumn id="19" xr3:uid="{B23B2CE6-A579-4627-B281-0AD18A669A36}" name="Additional Comments" dataDxfId="64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B0C41FE-C80E-46EF-B181-7C606E9C3ADA}" name="Priority6" displayName="Priority6" ref="A20:Q32" totalsRowShown="0" headerRowDxfId="63" dataDxfId="61" headerRowBorderDxfId="62" tableBorderDxfId="60">
  <autoFilter ref="A20:Q32" xr:uid="{3B0C41FE-C80E-46EF-B181-7C606E9C3ADA}"/>
  <sortState xmlns:xlrd2="http://schemas.microsoft.com/office/spreadsheetml/2017/richdata2" ref="A21:Q32">
    <sortCondition ref="B20:B32"/>
  </sortState>
  <tableColumns count="17">
    <tableColumn id="16" xr3:uid="{88B85A16-73C3-46A5-8315-6E34BC588947}" name="Priority" dataDxfId="59">
      <calculatedColumnFormula>IF(Priority6[[#This Row],[Date Added]]&lt;&gt;"",6,"")</calculatedColumnFormula>
    </tableColumn>
    <tableColumn id="1" xr3:uid="{631E27E2-3ABA-4846-A2D9-09D733DE5B8E}" name="Date Added" dataDxfId="58"/>
    <tableColumn id="2" xr3:uid="{D7C38F09-14B2-41E3-B36C-D9E077C5A5C7}" name="First Name" dataDxfId="57"/>
    <tableColumn id="3" xr3:uid="{0DBA899C-3956-496A-ACE1-E31DB8B6AD55}" name="Last Name" dataDxfId="56"/>
    <tableColumn id="4" xr3:uid="{4C5EE874-EF2E-4DF8-9F7E-21411DD7867F}" name="Phone" dataDxfId="55"/>
    <tableColumn id="5" xr3:uid="{6EADB9C2-CD75-41BD-A79A-72558D83B368}" name="Email" dataDxfId="54"/>
    <tableColumn id="6" xr3:uid="{26A0B202-6AA4-4CA3-A959-A51E420DF712}" name="Source" dataDxfId="53"/>
    <tableColumn id="7" xr3:uid="{FB8884E5-AEB2-4864-8EF7-D6AA070A302C}" name="1 Bedroom" dataDxfId="52"/>
    <tableColumn id="8" xr3:uid="{85FB3475-6CD7-4355-8A2F-C8A36F8426C7}" name="2 Bedroom" dataDxfId="51"/>
    <tableColumn id="9" xr3:uid="{6250CA72-55AB-492A-8C5E-1F4759686302}" name="3 Bedroom" dataDxfId="50"/>
    <tableColumn id="10" xr3:uid="{C0B0A56C-089C-41D1-8D96-645C3EB2B116}" name="30%" dataDxfId="49"/>
    <tableColumn id="11" xr3:uid="{161EF029-91BF-4977-9488-1F8A4B2C84C0}" name="40%" dataDxfId="48"/>
    <tableColumn id="12" xr3:uid="{6D10CE38-0C17-4E48-B771-C1EC1EC479B1}" name="45%" dataDxfId="47"/>
    <tableColumn id="13" xr3:uid="{4C20CBAB-0ED5-4EF3-9BFB-4DBDB1228EC2}" name="50%" dataDxfId="46"/>
    <tableColumn id="14" xr3:uid="{8AFF3B31-C8AD-448A-9C46-81949AB91E19}" name="60%" dataDxfId="45"/>
    <tableColumn id="15" xr3:uid="{3708465E-3866-4FF3-A310-2E66F79DD89C}" name="Market Rate" dataDxfId="44"/>
    <tableColumn id="19" xr3:uid="{9E5AB2D4-F2C9-4B72-8E94-AB9EF3B5DCB0}" name="Additional Comments" dataDxfId="43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198574-E5E6-4A01-A6B4-0BEACE046854}" name="Priority3" displayName="Priority3" ref="A11:Q12" totalsRowShown="0" headerRowDxfId="42" dataDxfId="41" tableBorderDxfId="40">
  <autoFilter ref="A11:Q12" xr:uid="{47198574-E5E6-4A01-A6B4-0BEACE04685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7" xr3:uid="{1468CAFD-7D5F-4D93-A83B-2550C71AE4ED}" name="Priority" dataDxfId="39">
      <calculatedColumnFormula>IF(Priority3[[#This Row],[Date Added]]&lt;&gt;"",3,"")</calculatedColumnFormula>
    </tableColumn>
    <tableColumn id="1" xr3:uid="{BC664D49-4517-4777-A0FA-E669195F8801}" name="Date Added" dataDxfId="38"/>
    <tableColumn id="2" xr3:uid="{842194D5-7A04-49B3-877F-C4759E18D68E}" name="First Name" dataDxfId="37"/>
    <tableColumn id="3" xr3:uid="{7CDC4C92-C3DE-439C-878C-C796579B3C70}" name="Last Name" dataDxfId="36"/>
    <tableColumn id="4" xr3:uid="{F2B264A6-DE7F-4669-BE02-6EAE7D33447A}" name="Phone" dataDxfId="35"/>
    <tableColumn id="5" xr3:uid="{EE3FAB27-BDBC-4F75-829A-A894797B8E38}" name="Email" dataDxfId="34"/>
    <tableColumn id="6" xr3:uid="{45494ACE-663E-430C-AD68-ACAA41C20199}" name="Source" dataDxfId="33"/>
    <tableColumn id="7" xr3:uid="{1F0A1442-0D0A-4C37-8285-DFF63BA259E3}" name="1 Bedroom" dataDxfId="32"/>
    <tableColumn id="8" xr3:uid="{BE875720-4AD1-44C3-9542-C6D198F9A51F}" name="2 Bedroom" dataDxfId="31"/>
    <tableColumn id="9" xr3:uid="{A5EB8E59-158E-4386-9A8B-90D9F65FE2C7}" name="3 Bedroom" dataDxfId="30"/>
    <tableColumn id="10" xr3:uid="{BC301CD1-DF88-4A51-A0FB-F7E24FD19968}" name="30%" dataDxfId="29"/>
    <tableColumn id="11" xr3:uid="{1FE4DB66-525F-4893-A7AD-EC725EE10169}" name="40%" dataDxfId="28"/>
    <tableColumn id="12" xr3:uid="{D11EEC27-62E5-4818-B3E7-E5A024DBEF03}" name="45%" dataDxfId="27"/>
    <tableColumn id="13" xr3:uid="{EBF7A032-1DAA-4A41-A329-26F697B39F7E}" name="50%" dataDxfId="26"/>
    <tableColumn id="14" xr3:uid="{65CD792D-0749-4F4A-A518-BE0B993593D6}" name="60%" dataDxfId="25"/>
    <tableColumn id="15" xr3:uid="{10743C35-C118-422A-A799-D0910EF4CE82}" name="Market Rate" dataDxfId="24"/>
    <tableColumn id="16" xr3:uid="{10E37D42-4474-478E-84C7-075FAAF72F54}" name="Additional Comments" dataDxfId="23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D4FE50-CBF8-473A-8451-994BD394BA70}" name="Closed" displayName="Closed" ref="A1:U2" insertRow="1" totalsRowShown="0" headerRowDxfId="22" dataDxfId="21">
  <autoFilter ref="A1:U2" xr:uid="{25D4FE50-CBF8-473A-8451-994BD394BA7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9" xr3:uid="{4ADFDC58-EBD7-4C60-8724-75C99A5409F4}" name="Priority" dataDxfId="20"/>
    <tableColumn id="1" xr3:uid="{250FDF4D-FE4E-4612-9815-2056432D704E}" name="Date Added" dataDxfId="19"/>
    <tableColumn id="2" xr3:uid="{0A3DD2C6-3757-421A-99DC-A900F0DD2C07}" name="First Name" dataDxfId="18"/>
    <tableColumn id="3" xr3:uid="{7908ADD9-77B2-4B82-9814-9A4BAA2FE7D5}" name="Last Name" dataDxfId="17"/>
    <tableColumn id="4" xr3:uid="{4B70BAD3-87E2-46B7-8239-9277CA57B9B8}" name="Phone" dataDxfId="16"/>
    <tableColumn id="5" xr3:uid="{E07CDB41-F075-40E1-BDE3-D4FA83DC3EF6}" name="Email" dataDxfId="15"/>
    <tableColumn id="6" xr3:uid="{004EE912-605A-45E0-AC1F-A7975020B46B}" name="Source" dataDxfId="14"/>
    <tableColumn id="7" xr3:uid="{BDC92428-8028-4932-A1AD-7C89D37A18F1}" name="1 Bedroom" dataDxfId="13"/>
    <tableColumn id="8" xr3:uid="{6E578731-0188-46B3-9341-3E3961B8AA01}" name="2 Bedroom" dataDxfId="12"/>
    <tableColumn id="9" xr3:uid="{71A0B07E-5BE8-4B9D-B325-88C7A1E3FD79}" name="3 Bedroom" dataDxfId="11"/>
    <tableColumn id="10" xr3:uid="{6A0B034F-E47F-4494-B3F8-D0712C38E7DC}" name="30%" dataDxfId="10"/>
    <tableColumn id="11" xr3:uid="{CAC1C409-4730-49E8-AC7A-45FEBB6CE711}" name="40%" dataDxfId="9"/>
    <tableColumn id="12" xr3:uid="{6D42DCF0-D628-40F4-87C1-6A4FD149CC0F}" name="45%" dataDxfId="8"/>
    <tableColumn id="13" xr3:uid="{331E4908-2F47-4DC3-9851-DECDA459D491}" name="50%" dataDxfId="7"/>
    <tableColumn id="14" xr3:uid="{D1054F31-3774-4107-8B01-CFDDA9B8A2C7}" name="60%" dataDxfId="6"/>
    <tableColumn id="15" xr3:uid="{79788B0A-97DE-41B9-8DE0-478F2289C105}" name="Market Rate" dataDxfId="5"/>
    <tableColumn id="16" xr3:uid="{04B1CF30-8936-4CA8-9AAA-98BA9C5DC387}" name="Additional Comments" dataDxfId="4"/>
    <tableColumn id="20" xr3:uid="{1F0F35AE-D877-4F19-8596-F5626B00C389}" name="Date Closed" dataDxfId="3"/>
    <tableColumn id="17" xr3:uid="{3477883C-3174-4FB5-868B-E0E5C8A02318}" name="_x000a_Reason for Close" dataDxfId="2"/>
    <tableColumn id="23" xr3:uid="{1A2F094A-DEE8-4550-B6E8-5F063CD2E0B0}" name="Column1" dataDxfId="1"/>
    <tableColumn id="24" xr3:uid="{CCEA2EB9-30C8-43D6-8E1C-0964DF5BFDD7}" name="Column2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48AEB-2A5E-4BDF-A184-489A6E758F4F}">
  <sheetPr codeName="Sheet1"/>
  <dimension ref="A1:Q32"/>
  <sheetViews>
    <sheetView tabSelected="1" topLeftCell="B1" zoomScaleNormal="100" workbookViewId="0">
      <pane ySplit="3" topLeftCell="A4" activePane="bottomLeft" state="frozen"/>
      <selection activeCell="B1" sqref="B1"/>
      <selection pane="bottomLeft" activeCell="I42" sqref="I42"/>
    </sheetView>
  </sheetViews>
  <sheetFormatPr defaultColWidth="0" defaultRowHeight="15" x14ac:dyDescent="0.25"/>
  <cols>
    <col min="1" max="1" width="5.85546875" hidden="1" customWidth="1"/>
    <col min="2" max="2" width="11.85546875" style="4" customWidth="1"/>
    <col min="3" max="4" width="20.7109375" style="16" customWidth="1"/>
    <col min="5" max="5" width="13.7109375" style="16" customWidth="1"/>
    <col min="6" max="7" width="20.7109375" style="16" customWidth="1"/>
    <col min="8" max="9" width="10.7109375" style="33" customWidth="1"/>
    <col min="10" max="10" width="10.7109375" style="33" hidden="1" customWidth="1"/>
    <col min="11" max="11" width="6.7109375" style="17" hidden="1" customWidth="1"/>
    <col min="12" max="12" width="6.7109375" style="17" customWidth="1"/>
    <col min="13" max="13" width="6.7109375" style="17" hidden="1" customWidth="1"/>
    <col min="14" max="14" width="6.85546875" style="17" customWidth="1"/>
    <col min="15" max="15" width="6.7109375" style="17" hidden="1" customWidth="1"/>
    <col min="16" max="16" width="12.7109375" style="33" hidden="1" customWidth="1"/>
    <col min="17" max="17" width="68.7109375" style="18" customWidth="1"/>
    <col min="18" max="16384" width="18.140625" style="14" hidden="1"/>
  </cols>
  <sheetData>
    <row r="1" spans="1:17" x14ac:dyDescent="0.25">
      <c r="B1" s="4" t="s">
        <v>0</v>
      </c>
      <c r="D1" s="3"/>
      <c r="E1" s="3"/>
      <c r="F1" s="3"/>
      <c r="G1" s="3"/>
      <c r="H1" s="30"/>
      <c r="I1" s="30"/>
      <c r="J1" s="30"/>
      <c r="K1" s="2"/>
      <c r="L1" s="2"/>
      <c r="M1" s="2"/>
      <c r="N1" s="2"/>
      <c r="O1" s="2"/>
      <c r="P1" s="30"/>
      <c r="Q1" s="6"/>
    </row>
    <row r="2" spans="1:17" x14ac:dyDescent="0.25">
      <c r="B2" s="3" t="s">
        <v>1</v>
      </c>
      <c r="C2" s="15">
        <v>44811</v>
      </c>
      <c r="D2" s="3"/>
      <c r="E2" s="3"/>
      <c r="F2" s="3"/>
      <c r="G2" s="3"/>
      <c r="H2" s="30"/>
      <c r="I2" s="30"/>
      <c r="J2" s="30"/>
      <c r="K2" s="2"/>
      <c r="L2" s="2"/>
      <c r="M2" s="2"/>
      <c r="N2" s="2"/>
      <c r="O2" s="2"/>
      <c r="P2" s="30"/>
      <c r="Q2" s="6"/>
    </row>
    <row r="3" spans="1:17" x14ac:dyDescent="0.25">
      <c r="B3" s="7" t="s">
        <v>2</v>
      </c>
      <c r="C3" s="8" t="s">
        <v>3</v>
      </c>
      <c r="D3" s="8" t="s">
        <v>4</v>
      </c>
      <c r="E3" s="8" t="s">
        <v>5</v>
      </c>
      <c r="F3" s="8" t="s">
        <v>6</v>
      </c>
      <c r="G3" s="8" t="s">
        <v>7</v>
      </c>
      <c r="H3" s="31" t="s">
        <v>14</v>
      </c>
      <c r="I3" s="31" t="s">
        <v>15</v>
      </c>
      <c r="J3" s="31" t="s">
        <v>16</v>
      </c>
      <c r="K3" s="9">
        <v>0.3</v>
      </c>
      <c r="L3" s="9" t="s">
        <v>9</v>
      </c>
      <c r="M3" s="9" t="s">
        <v>10</v>
      </c>
      <c r="N3" s="9" t="s">
        <v>11</v>
      </c>
      <c r="O3" s="9" t="s">
        <v>12</v>
      </c>
      <c r="P3" s="36" t="s">
        <v>13</v>
      </c>
      <c r="Q3" s="10" t="s">
        <v>17</v>
      </c>
    </row>
    <row r="4" spans="1:17" ht="18.75" x14ac:dyDescent="0.3">
      <c r="B4" s="19" t="str">
        <f>'Master Sheet'!A2</f>
        <v>1. Reasonable Accommodation</v>
      </c>
      <c r="C4" s="20"/>
      <c r="D4" s="20"/>
      <c r="E4" s="20"/>
      <c r="F4" s="20"/>
      <c r="G4" s="20"/>
      <c r="H4" s="32"/>
      <c r="I4" s="32"/>
      <c r="J4" s="32"/>
      <c r="K4" s="21"/>
      <c r="L4" s="21"/>
      <c r="M4" s="21"/>
      <c r="N4" s="21"/>
      <c r="O4" s="21"/>
      <c r="P4" s="32"/>
      <c r="Q4" s="22"/>
    </row>
    <row r="5" spans="1:17" x14ac:dyDescent="0.25">
      <c r="A5" s="38" t="s">
        <v>19</v>
      </c>
      <c r="B5" s="4" t="s">
        <v>2</v>
      </c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0" t="s">
        <v>14</v>
      </c>
      <c r="I5" s="30" t="s">
        <v>15</v>
      </c>
      <c r="J5" s="30" t="s">
        <v>16</v>
      </c>
      <c r="K5" s="2" t="s">
        <v>8</v>
      </c>
      <c r="L5" s="2" t="s">
        <v>9</v>
      </c>
      <c r="M5" s="2" t="s">
        <v>10</v>
      </c>
      <c r="N5" s="2" t="s">
        <v>11</v>
      </c>
      <c r="O5" s="2" t="s">
        <v>12</v>
      </c>
      <c r="P5" s="30" t="s">
        <v>13</v>
      </c>
      <c r="Q5" s="6" t="s">
        <v>17</v>
      </c>
    </row>
    <row r="6" spans="1:17" hidden="1" x14ac:dyDescent="0.25">
      <c r="A6" s="39">
        <f>IF(Priority1[[#This Row],[Date Added]]&lt;&gt;"",1,"")</f>
        <v>1</v>
      </c>
      <c r="B6" s="4">
        <v>0</v>
      </c>
      <c r="C6" s="16" t="s">
        <v>18</v>
      </c>
    </row>
    <row r="7" spans="1:17" ht="18.75" x14ac:dyDescent="0.3">
      <c r="B7" s="19" t="str">
        <f>'Master Sheet'!A3</f>
        <v>2. Current Resident - Lower AMI. Pull most recent WCMS Report.  Revisit prior residents annually that did not qualify when the last new income limits were published.</v>
      </c>
      <c r="C7" s="19"/>
      <c r="D7" s="19"/>
      <c r="E7" s="19"/>
      <c r="F7" s="19"/>
      <c r="G7" s="19"/>
      <c r="H7" s="34"/>
      <c r="I7" s="34"/>
      <c r="J7" s="34"/>
      <c r="K7" s="23"/>
      <c r="L7" s="23"/>
      <c r="M7" s="23"/>
      <c r="N7" s="23"/>
      <c r="O7" s="23"/>
      <c r="P7" s="34"/>
      <c r="Q7" s="24"/>
    </row>
    <row r="8" spans="1:17" x14ac:dyDescent="0.25">
      <c r="A8" s="37" t="s">
        <v>19</v>
      </c>
      <c r="B8" s="4" t="s">
        <v>2</v>
      </c>
      <c r="C8" s="3" t="s">
        <v>3</v>
      </c>
      <c r="D8" s="3" t="s">
        <v>4</v>
      </c>
      <c r="E8" s="3" t="s">
        <v>5</v>
      </c>
      <c r="F8" s="3" t="s">
        <v>6</v>
      </c>
      <c r="G8" s="3" t="s">
        <v>7</v>
      </c>
      <c r="H8" s="30" t="s">
        <v>14</v>
      </c>
      <c r="I8" s="30" t="s">
        <v>15</v>
      </c>
      <c r="J8" s="30" t="s">
        <v>16</v>
      </c>
      <c r="K8" s="2" t="s">
        <v>8</v>
      </c>
      <c r="L8" s="2" t="s">
        <v>9</v>
      </c>
      <c r="M8" s="2" t="s">
        <v>10</v>
      </c>
      <c r="N8" s="2" t="s">
        <v>11</v>
      </c>
      <c r="O8" s="2" t="s">
        <v>12</v>
      </c>
      <c r="P8" s="30" t="s">
        <v>13</v>
      </c>
      <c r="Q8" s="6" t="s">
        <v>17</v>
      </c>
    </row>
    <row r="9" spans="1:17" hidden="1" x14ac:dyDescent="0.25">
      <c r="A9" s="39">
        <f>IF(Priority2[[#This Row],[Date Added]]&lt;&gt;"",2,"")</f>
        <v>2</v>
      </c>
      <c r="B9" s="4">
        <v>0</v>
      </c>
      <c r="C9" s="16" t="s">
        <v>18</v>
      </c>
    </row>
    <row r="10" spans="1:17" ht="18.75" x14ac:dyDescent="0.3">
      <c r="B10" s="19" t="str">
        <f>'Master Sheet'!A4</f>
        <v>3. Current Resident - Non-Financial</v>
      </c>
      <c r="C10" s="19"/>
      <c r="D10" s="19"/>
      <c r="E10" s="19"/>
      <c r="F10" s="19"/>
      <c r="G10" s="19"/>
      <c r="H10" s="34"/>
      <c r="I10" s="34"/>
      <c r="J10" s="34"/>
      <c r="K10" s="23"/>
      <c r="L10" s="23"/>
      <c r="M10" s="23"/>
      <c r="N10" s="23"/>
      <c r="O10" s="23"/>
      <c r="P10" s="34"/>
      <c r="Q10" s="24"/>
    </row>
    <row r="11" spans="1:17" x14ac:dyDescent="0.25">
      <c r="A11" s="37" t="s">
        <v>19</v>
      </c>
      <c r="B11" s="25" t="s">
        <v>2</v>
      </c>
      <c r="C11" s="26" t="s">
        <v>3</v>
      </c>
      <c r="D11" s="26" t="s">
        <v>4</v>
      </c>
      <c r="E11" s="26" t="s">
        <v>5</v>
      </c>
      <c r="F11" s="26" t="s">
        <v>6</v>
      </c>
      <c r="G11" s="26" t="s">
        <v>7</v>
      </c>
      <c r="H11" s="35" t="s">
        <v>14</v>
      </c>
      <c r="I11" s="35" t="s">
        <v>15</v>
      </c>
      <c r="J11" s="35" t="s">
        <v>16</v>
      </c>
      <c r="K11" s="27" t="s">
        <v>8</v>
      </c>
      <c r="L11" s="27" t="s">
        <v>9</v>
      </c>
      <c r="M11" s="27" t="s">
        <v>10</v>
      </c>
      <c r="N11" s="27" t="s">
        <v>11</v>
      </c>
      <c r="O11" s="27" t="s">
        <v>12</v>
      </c>
      <c r="P11" s="35" t="s">
        <v>13</v>
      </c>
      <c r="Q11" s="13" t="s">
        <v>17</v>
      </c>
    </row>
    <row r="12" spans="1:17" hidden="1" x14ac:dyDescent="0.25">
      <c r="A12" s="39">
        <f>IF(Priority3[[#This Row],[Date Added]]&lt;&gt;"",3,"")</f>
        <v>3</v>
      </c>
      <c r="B12" s="4">
        <v>0</v>
      </c>
      <c r="C12" s="16" t="s">
        <v>18</v>
      </c>
    </row>
    <row r="13" spans="1:17" ht="18.75" x14ac:dyDescent="0.3">
      <c r="B13" s="19" t="str">
        <f>'Master Sheet'!A5</f>
        <v>4. Voucher Holder</v>
      </c>
      <c r="C13" s="19"/>
      <c r="D13" s="19"/>
      <c r="E13" s="19"/>
      <c r="F13" s="19"/>
      <c r="G13" s="19"/>
      <c r="H13" s="34"/>
      <c r="I13" s="34"/>
      <c r="J13" s="34"/>
      <c r="K13" s="23"/>
      <c r="L13" s="23"/>
      <c r="M13" s="23"/>
      <c r="N13" s="23"/>
      <c r="O13" s="23"/>
      <c r="P13" s="34"/>
      <c r="Q13" s="24"/>
    </row>
    <row r="14" spans="1:17" x14ac:dyDescent="0.25">
      <c r="A14" s="37" t="s">
        <v>19</v>
      </c>
      <c r="B14" s="4" t="s">
        <v>2</v>
      </c>
      <c r="C14" s="3" t="s">
        <v>3</v>
      </c>
      <c r="D14" s="3" t="s">
        <v>4</v>
      </c>
      <c r="E14" s="3" t="s">
        <v>5</v>
      </c>
      <c r="F14" s="3" t="s">
        <v>6</v>
      </c>
      <c r="G14" s="3" t="s">
        <v>7</v>
      </c>
      <c r="H14" s="30" t="s">
        <v>14</v>
      </c>
      <c r="I14" s="30" t="s">
        <v>15</v>
      </c>
      <c r="J14" s="30" t="s">
        <v>16</v>
      </c>
      <c r="K14" s="2" t="s">
        <v>8</v>
      </c>
      <c r="L14" s="2" t="s">
        <v>9</v>
      </c>
      <c r="M14" s="2" t="s">
        <v>10</v>
      </c>
      <c r="N14" s="2" t="s">
        <v>11</v>
      </c>
      <c r="O14" s="2" t="s">
        <v>12</v>
      </c>
      <c r="P14" s="30" t="s">
        <v>13</v>
      </c>
      <c r="Q14" s="28" t="s">
        <v>17</v>
      </c>
    </row>
    <row r="15" spans="1:17" hidden="1" x14ac:dyDescent="0.25">
      <c r="A15" s="39">
        <f>IF(Priority4[[#This Row],[Date Added]]&lt;&gt;"",4,"")</f>
        <v>4</v>
      </c>
      <c r="B15" s="4">
        <v>0</v>
      </c>
      <c r="C15" s="16" t="s">
        <v>18</v>
      </c>
    </row>
    <row r="16" spans="1:17" ht="18.75" x14ac:dyDescent="0.3">
      <c r="B16" s="19" t="str">
        <f>'Master Sheet'!A6</f>
        <v>5. Sister Property</v>
      </c>
      <c r="C16" s="19"/>
      <c r="D16" s="19"/>
      <c r="E16" s="19"/>
      <c r="F16" s="19"/>
      <c r="G16" s="19"/>
      <c r="H16" s="34"/>
      <c r="I16" s="34"/>
      <c r="J16" s="34"/>
      <c r="K16" s="23"/>
      <c r="L16" s="23"/>
      <c r="M16" s="23"/>
      <c r="N16" s="23"/>
      <c r="O16" s="23"/>
      <c r="P16" s="34"/>
      <c r="Q16" s="24"/>
    </row>
    <row r="17" spans="1:17" x14ac:dyDescent="0.25">
      <c r="A17" s="37" t="s">
        <v>19</v>
      </c>
      <c r="B17" s="4" t="s">
        <v>2</v>
      </c>
      <c r="C17" s="3" t="s">
        <v>3</v>
      </c>
      <c r="D17" s="3" t="s">
        <v>4</v>
      </c>
      <c r="E17" s="3" t="s">
        <v>5</v>
      </c>
      <c r="F17" s="3" t="s">
        <v>6</v>
      </c>
      <c r="G17" s="3" t="s">
        <v>7</v>
      </c>
      <c r="H17" s="30" t="s">
        <v>14</v>
      </c>
      <c r="I17" s="30" t="s">
        <v>15</v>
      </c>
      <c r="J17" s="30" t="s">
        <v>16</v>
      </c>
      <c r="K17" s="2" t="s">
        <v>8</v>
      </c>
      <c r="L17" s="2" t="s">
        <v>9</v>
      </c>
      <c r="M17" s="2" t="s">
        <v>10</v>
      </c>
      <c r="N17" s="2" t="s">
        <v>11</v>
      </c>
      <c r="O17" s="2" t="s">
        <v>12</v>
      </c>
      <c r="P17" s="30" t="s">
        <v>13</v>
      </c>
      <c r="Q17" s="28" t="s">
        <v>17</v>
      </c>
    </row>
    <row r="18" spans="1:17" hidden="1" x14ac:dyDescent="0.25">
      <c r="A18" s="39">
        <f>IF(Priority5[[#This Row],[Date Added]]&lt;&gt;"",5,"")</f>
        <v>5</v>
      </c>
      <c r="B18" s="4">
        <v>0</v>
      </c>
      <c r="C18" s="16" t="s">
        <v>18</v>
      </c>
    </row>
    <row r="19" spans="1:17" ht="18.75" x14ac:dyDescent="0.3">
      <c r="B19" s="19" t="str">
        <f>'Master Sheet'!A7</f>
        <v>6. General Public</v>
      </c>
      <c r="C19" s="19"/>
      <c r="D19" s="19"/>
      <c r="E19" s="19"/>
      <c r="F19" s="19"/>
      <c r="G19" s="19"/>
      <c r="H19" s="34"/>
      <c r="I19" s="34"/>
      <c r="J19" s="34"/>
      <c r="K19" s="23"/>
      <c r="L19" s="23"/>
      <c r="M19" s="23"/>
      <c r="N19" s="23"/>
      <c r="O19" s="23"/>
      <c r="P19" s="34"/>
      <c r="Q19" s="24"/>
    </row>
    <row r="20" spans="1:17" x14ac:dyDescent="0.25">
      <c r="A20" s="37" t="s">
        <v>19</v>
      </c>
      <c r="B20" s="4" t="s">
        <v>2</v>
      </c>
      <c r="C20" s="3" t="s">
        <v>3</v>
      </c>
      <c r="D20" s="3" t="s">
        <v>4</v>
      </c>
      <c r="E20" s="3" t="s">
        <v>5</v>
      </c>
      <c r="F20" s="3" t="s">
        <v>6</v>
      </c>
      <c r="G20" s="3" t="s">
        <v>7</v>
      </c>
      <c r="H20" s="30" t="s">
        <v>14</v>
      </c>
      <c r="I20" s="30" t="s">
        <v>15</v>
      </c>
      <c r="J20" s="30" t="s">
        <v>16</v>
      </c>
      <c r="K20" s="2" t="s">
        <v>8</v>
      </c>
      <c r="L20" s="2" t="s">
        <v>9</v>
      </c>
      <c r="M20" s="2" t="s">
        <v>10</v>
      </c>
      <c r="N20" s="2" t="s">
        <v>11</v>
      </c>
      <c r="O20" s="2" t="s">
        <v>12</v>
      </c>
      <c r="P20" s="30" t="s">
        <v>13</v>
      </c>
      <c r="Q20" s="28" t="s">
        <v>17</v>
      </c>
    </row>
    <row r="21" spans="1:17" hidden="1" x14ac:dyDescent="0.25">
      <c r="A21" s="39">
        <f>IF(Priority6[[#This Row],[Date Added]]&lt;&gt;"",6,"")</f>
        <v>6</v>
      </c>
      <c r="B21" s="4">
        <v>0</v>
      </c>
      <c r="C21" s="16" t="s">
        <v>18</v>
      </c>
    </row>
    <row r="22" spans="1:17" ht="30" x14ac:dyDescent="0.25">
      <c r="A22" s="39">
        <f>IF(Priority6[[#This Row],[Date Added]]&lt;&gt;"",6,"")</f>
        <v>6</v>
      </c>
      <c r="B22" s="29">
        <v>36526</v>
      </c>
      <c r="C22" s="16" t="s">
        <v>50</v>
      </c>
      <c r="D22" s="16" t="s">
        <v>44</v>
      </c>
      <c r="E22" s="16">
        <v>9568191051</v>
      </c>
      <c r="H22" s="33" t="s">
        <v>14</v>
      </c>
      <c r="N22" s="17" t="s">
        <v>11</v>
      </c>
      <c r="Q22" s="18" t="s">
        <v>47</v>
      </c>
    </row>
    <row r="23" spans="1:17" ht="30" x14ac:dyDescent="0.25">
      <c r="A23" s="39">
        <f>IF(Priority6[[#This Row],[Date Added]]&lt;&gt;"",6,"")</f>
        <v>6</v>
      </c>
      <c r="B23" s="29">
        <v>36526</v>
      </c>
      <c r="C23" s="16" t="s">
        <v>45</v>
      </c>
      <c r="D23" s="16" t="s">
        <v>39</v>
      </c>
      <c r="E23" s="16">
        <v>8727750191</v>
      </c>
      <c r="I23" s="33" t="s">
        <v>15</v>
      </c>
      <c r="N23" s="17" t="s">
        <v>11</v>
      </c>
      <c r="Q23" s="18" t="s">
        <v>40</v>
      </c>
    </row>
    <row r="24" spans="1:17" x14ac:dyDescent="0.25">
      <c r="A24" s="39">
        <f>IF(Priority6[[#This Row],[Date Added]]&lt;&gt;"",6,"")</f>
        <v>6</v>
      </c>
      <c r="B24" s="29">
        <v>36526</v>
      </c>
      <c r="C24" s="16" t="s">
        <v>52</v>
      </c>
      <c r="D24" s="16" t="s">
        <v>32</v>
      </c>
      <c r="E24" s="16">
        <v>2700704638</v>
      </c>
      <c r="H24" s="33" t="s">
        <v>14</v>
      </c>
      <c r="L24" s="17" t="s">
        <v>9</v>
      </c>
      <c r="Q24" s="18" t="s">
        <v>56</v>
      </c>
    </row>
    <row r="25" spans="1:17" x14ac:dyDescent="0.25">
      <c r="A25" s="39">
        <f>IF(Priority6[[#This Row],[Date Added]]&lt;&gt;"",6,"")</f>
        <v>6</v>
      </c>
      <c r="B25" s="29">
        <v>36526</v>
      </c>
      <c r="C25" s="16" t="s">
        <v>31</v>
      </c>
      <c r="D25" s="16" t="s">
        <v>51</v>
      </c>
      <c r="E25" s="16">
        <v>1154345048</v>
      </c>
      <c r="H25" s="33" t="s">
        <v>14</v>
      </c>
      <c r="I25" s="33" t="s">
        <v>15</v>
      </c>
      <c r="L25" s="17" t="s">
        <v>9</v>
      </c>
      <c r="Q25" s="18" t="s">
        <v>38</v>
      </c>
    </row>
    <row r="26" spans="1:17" ht="30" x14ac:dyDescent="0.25">
      <c r="A26" s="39">
        <f>IF(Priority6[[#This Row],[Date Added]]&lt;&gt;"",6,"")</f>
        <v>6</v>
      </c>
      <c r="B26" s="29">
        <v>36527</v>
      </c>
      <c r="C26" s="16" t="s">
        <v>35</v>
      </c>
      <c r="E26" s="16">
        <v>5127034895</v>
      </c>
      <c r="H26" s="33" t="s">
        <v>14</v>
      </c>
      <c r="N26" s="17" t="s">
        <v>11</v>
      </c>
      <c r="Q26" s="18" t="s">
        <v>48</v>
      </c>
    </row>
    <row r="27" spans="1:17" x14ac:dyDescent="0.25">
      <c r="A27" s="39">
        <f>IF(Priority6[[#This Row],[Date Added]]&lt;&gt;"",6,"")</f>
        <v>6</v>
      </c>
      <c r="B27" s="29">
        <v>36527</v>
      </c>
      <c r="C27" s="16" t="s">
        <v>34</v>
      </c>
      <c r="D27" s="16" t="s">
        <v>53</v>
      </c>
      <c r="E27" s="16">
        <v>7237682065</v>
      </c>
      <c r="I27" s="33" t="s">
        <v>15</v>
      </c>
      <c r="L27" s="17" t="s">
        <v>9</v>
      </c>
      <c r="Q27" s="18" t="s">
        <v>56</v>
      </c>
    </row>
    <row r="28" spans="1:17" x14ac:dyDescent="0.25">
      <c r="A28" s="39">
        <f>IF(Priority6[[#This Row],[Date Added]]&lt;&gt;"",6,"")</f>
        <v>6</v>
      </c>
      <c r="B28" s="29">
        <v>36527</v>
      </c>
      <c r="C28" s="16" t="s">
        <v>36</v>
      </c>
      <c r="D28" s="16" t="s">
        <v>57</v>
      </c>
      <c r="E28" s="16">
        <v>6126980820</v>
      </c>
      <c r="H28" s="33" t="s">
        <v>14</v>
      </c>
      <c r="L28" s="17" t="s">
        <v>9</v>
      </c>
      <c r="Q28" s="18" t="s">
        <v>38</v>
      </c>
    </row>
    <row r="29" spans="1:17" ht="30" x14ac:dyDescent="0.25">
      <c r="A29" s="39">
        <f>IF(Priority6[[#This Row],[Date Added]]&lt;&gt;"",6,"")</f>
        <v>6</v>
      </c>
      <c r="B29" s="29">
        <v>36527</v>
      </c>
      <c r="C29" s="16" t="s">
        <v>54</v>
      </c>
      <c r="D29" s="16" t="s">
        <v>37</v>
      </c>
      <c r="E29" s="16">
        <v>176144779</v>
      </c>
      <c r="I29" s="33" t="s">
        <v>15</v>
      </c>
      <c r="N29" s="17" t="s">
        <v>11</v>
      </c>
      <c r="Q29" s="18" t="s">
        <v>41</v>
      </c>
    </row>
    <row r="30" spans="1:17" ht="30" x14ac:dyDescent="0.25">
      <c r="A30" s="39">
        <f>IF(Priority6[[#This Row],[Date Added]]&lt;&gt;"",6,"")</f>
        <v>6</v>
      </c>
      <c r="B30" s="29">
        <v>36528</v>
      </c>
      <c r="C30" s="16" t="s">
        <v>33</v>
      </c>
      <c r="D30" s="16" t="s">
        <v>46</v>
      </c>
      <c r="E30" s="16">
        <v>2655506092</v>
      </c>
      <c r="H30" s="33" t="s">
        <v>14</v>
      </c>
      <c r="N30" s="17" t="s">
        <v>11</v>
      </c>
      <c r="Q30" s="18" t="s">
        <v>49</v>
      </c>
    </row>
    <row r="31" spans="1:17" ht="30" x14ac:dyDescent="0.25">
      <c r="A31" s="39">
        <f>IF(Priority6[[#This Row],[Date Added]]&lt;&gt;"",6,"")</f>
        <v>6</v>
      </c>
      <c r="B31" s="29">
        <v>36528</v>
      </c>
      <c r="C31" s="16" t="s">
        <v>30</v>
      </c>
      <c r="D31" s="16" t="s">
        <v>42</v>
      </c>
      <c r="E31" s="16">
        <v>2906553050</v>
      </c>
      <c r="I31" s="33" t="s">
        <v>15</v>
      </c>
      <c r="N31" s="17" t="s">
        <v>11</v>
      </c>
      <c r="Q31" s="18" t="s">
        <v>43</v>
      </c>
    </row>
    <row r="32" spans="1:17" x14ac:dyDescent="0.25">
      <c r="A32" s="39">
        <f>IF(Priority6[[#This Row],[Date Added]]&lt;&gt;"",6,"")</f>
        <v>6</v>
      </c>
      <c r="B32" s="29">
        <v>36528</v>
      </c>
      <c r="C32" s="16" t="s">
        <v>59</v>
      </c>
      <c r="D32" s="16" t="s">
        <v>55</v>
      </c>
      <c r="E32" s="16">
        <v>7937079265</v>
      </c>
      <c r="I32" s="33" t="s">
        <v>15</v>
      </c>
      <c r="L32" s="17" t="s">
        <v>9</v>
      </c>
      <c r="Q32" s="18" t="s">
        <v>56</v>
      </c>
    </row>
  </sheetData>
  <sheetProtection algorithmName="SHA-512" hashValue="t60TgGbuBOD18emfq9jjWUOD5IrTUHD5zI1syloy0wMBQOb+4bUXmuWkuS8jb/eTBC2Asd1NveyBc7Q5kT0gQw==" saltValue="mqKcG9scSJe48ONdBlQdGA==" spinCount="100000" sheet="1" objects="1" scenarios="1" sort="0" autoFilter="0"/>
  <dataValidations count="9">
    <dataValidation type="list" allowBlank="1" showInputMessage="1" showErrorMessage="1" sqref="H1:H1048576" xr:uid="{171A4E9A-8418-4E2A-9EE8-E8A90BC534C1}">
      <formula1>$H$3</formula1>
    </dataValidation>
    <dataValidation type="list" allowBlank="1" showInputMessage="1" showErrorMessage="1" sqref="I1:I1048576" xr:uid="{F2EA4CDA-EABE-4780-B6B7-543ACF6D1AD9}">
      <formula1>$I$3</formula1>
    </dataValidation>
    <dataValidation type="list" allowBlank="1" showInputMessage="1" showErrorMessage="1" sqref="J1:J1048576" xr:uid="{38DBC4CE-DBB1-4B07-8317-34342299E2E8}">
      <formula1>$J$3</formula1>
    </dataValidation>
    <dataValidation type="list" allowBlank="1" showInputMessage="1" showErrorMessage="1" sqref="K1:K1048576" xr:uid="{89456AA6-0055-4E3D-BD28-C91F9B88948F}">
      <formula1>$K$3</formula1>
    </dataValidation>
    <dataValidation type="list" allowBlank="1" showInputMessage="1" showErrorMessage="1" sqref="L1:L1048576" xr:uid="{4CE1A35D-3414-41E3-ADD3-A1C8874F7504}">
      <formula1>$L$3</formula1>
    </dataValidation>
    <dataValidation type="list" allowBlank="1" showInputMessage="1" showErrorMessage="1" sqref="M1:M1048576" xr:uid="{A42DB7BC-59CD-4A34-A67C-CA59C9F0A703}">
      <formula1>$M$3</formula1>
    </dataValidation>
    <dataValidation type="list" allowBlank="1" showInputMessage="1" showErrorMessage="1" sqref="N1:N1048576" xr:uid="{3EA2EF3E-C3B1-48E9-A0A1-2DC552A2442E}">
      <formula1>$N$3</formula1>
    </dataValidation>
    <dataValidation type="list" allowBlank="1" showInputMessage="1" showErrorMessage="1" sqref="O1:O1048576" xr:uid="{9B0D3185-D1CD-443A-A27B-1D9931C7FBFD}">
      <formula1>$O$3</formula1>
    </dataValidation>
    <dataValidation type="list" allowBlank="1" showInputMessage="1" showErrorMessage="1" sqref="P1:P1048576" xr:uid="{CBED9444-AE24-4698-B9DB-41C5DC4DCD79}">
      <formula1>$P$3</formula1>
    </dataValidation>
  </dataValidations>
  <pageMargins left="0.7" right="0.7" top="0.75" bottom="0.75" header="0.3" footer="0.3"/>
  <pageSetup orientation="portrait" horizontalDpi="1200" verticalDpi="1200" r:id="rId1"/>
  <ignoredErrors>
    <ignoredError sqref="K19:O20 K5:O5 K16:O17 K13:O15 K7:O8 K10:O12" listDataValidatio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pplicant_form">
                <anchor moveWithCells="1" sizeWithCells="1">
                  <from>
                    <xdr:col>16</xdr:col>
                    <xdr:colOff>9525</xdr:colOff>
                    <xdr:row>0</xdr:row>
                    <xdr:rowOff>0</xdr:rowOff>
                  </from>
                  <to>
                    <xdr:col>16</xdr:col>
                    <xdr:colOff>2352675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ose_Applicant_form">
                <anchor moveWithCells="1" sizeWithCells="1">
                  <from>
                    <xdr:col>16</xdr:col>
                    <xdr:colOff>2352675</xdr:colOff>
                    <xdr:row>0</xdr:row>
                    <xdr:rowOff>0</xdr:rowOff>
                  </from>
                  <to>
                    <xdr:col>16</xdr:col>
                    <xdr:colOff>4572000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41CE5-7896-4442-8B83-EE16B95025EF}">
  <sheetPr codeName="Sheet2"/>
  <dimension ref="A1:U2"/>
  <sheetViews>
    <sheetView zoomScale="85" zoomScaleNormal="85" workbookViewId="0">
      <pane ySplit="1" topLeftCell="A2" activePane="bottomLeft" state="frozen"/>
      <selection pane="bottomLeft" activeCell="E22" sqref="E22"/>
    </sheetView>
  </sheetViews>
  <sheetFormatPr defaultColWidth="0" defaultRowHeight="15" x14ac:dyDescent="0.25"/>
  <cols>
    <col min="1" max="1" width="9.140625" customWidth="1"/>
    <col min="2" max="2" width="15.28515625" style="4" customWidth="1"/>
    <col min="3" max="3" width="17.42578125" style="3" customWidth="1"/>
    <col min="4" max="4" width="17.140625" style="3" customWidth="1"/>
    <col min="5" max="5" width="13.7109375" style="3" customWidth="1"/>
    <col min="6" max="6" width="15.140625" style="3" customWidth="1"/>
    <col min="7" max="7" width="12.42578125" style="3" customWidth="1"/>
    <col min="8" max="10" width="10.7109375" style="2" customWidth="1"/>
    <col min="11" max="12" width="6.7109375" style="2" customWidth="1"/>
    <col min="13" max="13" width="6.7109375" style="1" customWidth="1"/>
    <col min="14" max="14" width="6.7109375" style="2" customWidth="1"/>
    <col min="15" max="15" width="6.7109375" style="1" customWidth="1"/>
    <col min="16" max="16" width="12.7109375" style="1" customWidth="1"/>
    <col min="17" max="17" width="57.85546875" style="6" customWidth="1"/>
    <col min="18" max="18" width="14.28515625" style="6" customWidth="1"/>
    <col min="19" max="19" width="54.28515625" style="5" customWidth="1"/>
    <col min="20" max="16384" width="9.140625" hidden="1"/>
  </cols>
  <sheetData>
    <row r="1" spans="1:21" ht="30" x14ac:dyDescent="0.25">
      <c r="A1" s="12" t="s">
        <v>19</v>
      </c>
      <c r="B1" s="7" t="s">
        <v>2</v>
      </c>
      <c r="C1" s="8" t="s">
        <v>3</v>
      </c>
      <c r="D1" s="8" t="s">
        <v>4</v>
      </c>
      <c r="E1" s="8" t="s">
        <v>5</v>
      </c>
      <c r="F1" s="8" t="s">
        <v>6</v>
      </c>
      <c r="G1" s="8" t="s">
        <v>7</v>
      </c>
      <c r="H1" s="10" t="s">
        <v>14</v>
      </c>
      <c r="I1" s="10" t="s">
        <v>15</v>
      </c>
      <c r="J1" s="10" t="s">
        <v>16</v>
      </c>
      <c r="K1" s="9" t="s">
        <v>8</v>
      </c>
      <c r="L1" s="9" t="s">
        <v>9</v>
      </c>
      <c r="M1" s="9" t="s">
        <v>10</v>
      </c>
      <c r="N1" s="27" t="s">
        <v>11</v>
      </c>
      <c r="O1" s="27" t="s">
        <v>12</v>
      </c>
      <c r="P1" s="12" t="s">
        <v>13</v>
      </c>
      <c r="Q1" s="11" t="s">
        <v>17</v>
      </c>
      <c r="R1" s="13" t="s">
        <v>20</v>
      </c>
      <c r="S1" s="40" t="s">
        <v>58</v>
      </c>
      <c r="T1" s="12" t="s">
        <v>28</v>
      </c>
      <c r="U1" s="12" t="s">
        <v>29</v>
      </c>
    </row>
    <row r="2" spans="1:21" x14ac:dyDescent="0.25">
      <c r="A2" s="1"/>
      <c r="T2" s="1"/>
      <c r="U2" s="1"/>
    </row>
  </sheetData>
  <sheetProtection algorithmName="SHA-512" hashValue="fIq9mP3t17A9IgLUqdC36HGZJoXl3QownFhkekIiq7ywpYwsNb7EcalP42HANmYvCk6hs7GqHlTd/fZ1l/vlYA==" saltValue="JZZ52qDNY4uGg8mpttKYRA==" spinCount="100000" sheet="1" objects="1" scenarios="1" sort="0" autoFilter="0"/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nclose_Applicant">
                <anchor moveWithCells="1">
                  <from>
                    <xdr:col>18</xdr:col>
                    <xdr:colOff>1762125</xdr:colOff>
                    <xdr:row>0</xdr:row>
                    <xdr:rowOff>0</xdr:rowOff>
                  </from>
                  <to>
                    <xdr:col>16383</xdr:col>
                    <xdr:colOff>1762125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2C04-0056-4C1D-8DD7-7615FDFED00C}">
  <sheetPr codeName="Sheet3"/>
  <dimension ref="A1:A7"/>
  <sheetViews>
    <sheetView workbookViewId="0">
      <selection activeCell="A32" sqref="A32"/>
    </sheetView>
  </sheetViews>
  <sheetFormatPr defaultRowHeight="15" x14ac:dyDescent="0.25"/>
  <cols>
    <col min="1" max="1" width="147.5703125" customWidth="1"/>
  </cols>
  <sheetData>
    <row r="1" spans="1:1" x14ac:dyDescent="0.25">
      <c r="A1" t="s">
        <v>21</v>
      </c>
    </row>
    <row r="2" spans="1:1" x14ac:dyDescent="0.25">
      <c r="A2" t="s">
        <v>22</v>
      </c>
    </row>
    <row r="3" spans="1:1" ht="30" x14ac:dyDescent="0.25">
      <c r="A3" s="5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1923832CF2DEA42A986831533F0A05A" ma:contentTypeVersion="8" ma:contentTypeDescription="Create a new document." ma:contentTypeScope="" ma:versionID="36d61e2b5f10135f504b86499b9ce630">
  <xsd:schema xmlns:xsd="http://www.w3.org/2001/XMLSchema" xmlns:xs="http://www.w3.org/2001/XMLSchema" xmlns:p="http://schemas.microsoft.com/office/2006/metadata/properties" xmlns:ns2="c8eca690-b470-4768-833f-65e2c7384aec" xmlns:ns3="733c5339-fb92-4227-acce-d89d24223e8f" targetNamespace="http://schemas.microsoft.com/office/2006/metadata/properties" ma:root="true" ma:fieldsID="f204a2ced9ae911b91b646c583af32bd" ns2:_="" ns3:_="">
    <xsd:import namespace="c8eca690-b470-4768-833f-65e2c7384aec"/>
    <xsd:import namespace="733c5339-fb92-4227-acce-d89d24223e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eca690-b470-4768-833f-65e2c7384a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3c5339-fb92-4227-acce-d89d24223e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20EBC813-D069-4DDE-9040-776CE56149C3}">
  <ds:schemaRefs>
    <ds:schemaRef ds:uri="http://gemini/pivotcustomization/ShowImplicitMeasures"/>
  </ds:schemaRefs>
</ds:datastoreItem>
</file>

<file path=customXml/itemProps2.xml><?xml version="1.0" encoding="utf-8"?>
<ds:datastoreItem xmlns:ds="http://schemas.openxmlformats.org/officeDocument/2006/customXml" ds:itemID="{BCFD5A90-4932-47C1-B54B-B956279221A2}">
  <ds:schemaRefs>
    <ds:schemaRef ds:uri="http://gemini/pivotcustomization/TableWidget"/>
  </ds:schemaRefs>
</ds:datastoreItem>
</file>

<file path=customXml/itemProps3.xml><?xml version="1.0" encoding="utf-8"?>
<ds:datastoreItem xmlns:ds="http://schemas.openxmlformats.org/officeDocument/2006/customXml" ds:itemID="{2139960E-7AFC-4A6C-B5EF-8FDAADE0E8C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4B38270F-71D5-42BE-80CA-A3A1E9302971}">
  <ds:schemaRefs>
    <ds:schemaRef ds:uri="http://gemini/pivotcustomization/LinkedTableUpdateMode"/>
  </ds:schemaRefs>
</ds:datastoreItem>
</file>

<file path=customXml/itemProps5.xml><?xml version="1.0" encoding="utf-8"?>
<ds:datastoreItem xmlns:ds="http://schemas.openxmlformats.org/officeDocument/2006/customXml" ds:itemID="{BD0E8315-753A-42CC-8983-4ACF92E49BFE}">
  <ds:schemaRefs>
    <ds:schemaRef ds:uri="http://purl.org/dc/terms/"/>
    <ds:schemaRef ds:uri="c8eca690-b470-4768-833f-65e2c7384aec"/>
    <ds:schemaRef ds:uri="733c5339-fb92-4227-acce-d89d24223e8f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6.xml><?xml version="1.0" encoding="utf-8"?>
<ds:datastoreItem xmlns:ds="http://schemas.openxmlformats.org/officeDocument/2006/customXml" ds:itemID="{7D12D107-3C87-4685-8B7E-73F4D2F1A03A}">
  <ds:schemaRefs>
    <ds:schemaRef ds:uri="http://gemini/pivotcustomization/TableOrder"/>
  </ds:schemaRefs>
</ds:datastoreItem>
</file>

<file path=customXml/itemProps7.xml><?xml version="1.0" encoding="utf-8"?>
<ds:datastoreItem xmlns:ds="http://schemas.openxmlformats.org/officeDocument/2006/customXml" ds:itemID="{09B380E6-513C-4762-A62B-9735774C82F9}">
  <ds:schemaRefs>
    <ds:schemaRef ds:uri="http://gemini/pivotcustomization/PowerPivotVersion"/>
  </ds:schemaRefs>
</ds:datastoreItem>
</file>

<file path=customXml/itemProps8.xml><?xml version="1.0" encoding="utf-8"?>
<ds:datastoreItem xmlns:ds="http://schemas.openxmlformats.org/officeDocument/2006/customXml" ds:itemID="{E9B0ABC0-FE92-4827-8488-83041E852DF3}">
  <ds:schemaRefs>
    <ds:schemaRef ds:uri="http://gemini/pivotcustomization/ClientWindowXML"/>
  </ds:schemaRefs>
</ds:datastoreItem>
</file>

<file path=customXml/itemProps9.xml><?xml version="1.0" encoding="utf-8"?>
<ds:datastoreItem xmlns:ds="http://schemas.openxmlformats.org/officeDocument/2006/customXml" ds:itemID="{1370DFD2-63B1-4CE0-9782-26127DB0F631}">
  <ds:schemaRefs>
    <ds:schemaRef ds:uri="http://gemini/pivotcustomization/SandboxNonEmpty"/>
  </ds:schemaRefs>
</ds:datastoreItem>
</file>

<file path=customXml/itemProps10.xml><?xml version="1.0" encoding="utf-8"?>
<ds:datastoreItem xmlns:ds="http://schemas.openxmlformats.org/officeDocument/2006/customXml" ds:itemID="{2E51589E-3D62-4FA8-950C-7588502F557A}">
  <ds:schemaRefs>
    <ds:schemaRef ds:uri="http://gemini/pivotcustomization/FormulaBarState"/>
  </ds:schemaRefs>
</ds:datastoreItem>
</file>

<file path=customXml/itemProps11.xml><?xml version="1.0" encoding="utf-8"?>
<ds:datastoreItem xmlns:ds="http://schemas.openxmlformats.org/officeDocument/2006/customXml" ds:itemID="{80EE1FD6-C8E8-41A7-96B8-23355D82E264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5C2E6BB1-3CBB-425A-85FD-48985D506790}">
  <ds:schemaRefs>
    <ds:schemaRef ds:uri="http://gemini/pivotcustomization/ManualCalcMode"/>
  </ds:schemaRefs>
</ds:datastoreItem>
</file>

<file path=customXml/itemProps13.xml><?xml version="1.0" encoding="utf-8"?>
<ds:datastoreItem xmlns:ds="http://schemas.openxmlformats.org/officeDocument/2006/customXml" ds:itemID="{F7F215B3-DB1B-486F-BAB4-3A497CB8DE11}">
  <ds:schemaRefs>
    <ds:schemaRef ds:uri="http://gemini/pivotcustomization/TableXML_Priority6"/>
  </ds:schemaRefs>
</ds:datastoreItem>
</file>

<file path=customXml/itemProps14.xml><?xml version="1.0" encoding="utf-8"?>
<ds:datastoreItem xmlns:ds="http://schemas.openxmlformats.org/officeDocument/2006/customXml" ds:itemID="{671CD88D-99BE-4913-9D6A-F731EF7EBB20}">
  <ds:schemaRefs>
    <ds:schemaRef ds:uri="http://gemini/pivotcustomization/RelationshipAutoDetectionEnabled"/>
  </ds:schemaRefs>
</ds:datastoreItem>
</file>

<file path=customXml/itemProps15.xml><?xml version="1.0" encoding="utf-8"?>
<ds:datastoreItem xmlns:ds="http://schemas.openxmlformats.org/officeDocument/2006/customXml" ds:itemID="{8C5944A4-EE2D-44A9-832C-53E0183BD132}">
  <ds:schemaRefs>
    <ds:schemaRef ds:uri="http://gemini/pivotcustomization/MeasureGridState"/>
  </ds:schemaRefs>
</ds:datastoreItem>
</file>

<file path=customXml/itemProps16.xml><?xml version="1.0" encoding="utf-8"?>
<ds:datastoreItem xmlns:ds="http://schemas.openxmlformats.org/officeDocument/2006/customXml" ds:itemID="{82293383-115B-4541-BC62-D692E4E73E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eca690-b470-4768-833f-65e2c7384aec"/>
    <ds:schemaRef ds:uri="733c5339-fb92-4227-acce-d89d24223e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7.xml><?xml version="1.0" encoding="utf-8"?>
<ds:datastoreItem xmlns:ds="http://schemas.openxmlformats.org/officeDocument/2006/customXml" ds:itemID="{A632B718-20C2-4990-8435-6B57CEBB4599}">
  <ds:schemaRefs>
    <ds:schemaRef ds:uri="http://gemini/pivotcustomization/ShowHidden"/>
  </ds:schemaRefs>
</ds:datastoreItem>
</file>

<file path=customXml/itemProps18.xml><?xml version="1.0" encoding="utf-8"?>
<ds:datastoreItem xmlns:ds="http://schemas.openxmlformats.org/officeDocument/2006/customXml" ds:itemID="{3DCDB951-796A-4B21-970B-1AD9A7A8E734}">
  <ds:schemaRefs>
    <ds:schemaRef ds:uri="http://gemini/pivotcustomization/Diagrams"/>
  </ds:schemaRefs>
</ds:datastoreItem>
</file>

<file path=customXml/itemProps19.xml><?xml version="1.0" encoding="utf-8"?>
<ds:datastoreItem xmlns:ds="http://schemas.openxmlformats.org/officeDocument/2006/customXml" ds:itemID="{20AD4465-A5A1-4EDB-8AAA-8A1064406417}">
  <ds:schemaRefs>
    <ds:schemaRef ds:uri="http://gemini/pivotcustomization/Error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Waitlist</vt:lpstr>
      <vt:lpstr>Closed</vt:lpstr>
      <vt:lpstr>Master Sheet</vt:lpstr>
      <vt:lpstr>Priority_List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revision/>
  <dcterms:created xsi:type="dcterms:W3CDTF">2022-03-17T16:47:42Z</dcterms:created>
  <dcterms:modified xsi:type="dcterms:W3CDTF">2022-09-10T15:20:28Z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0x01010041923832CF2DEA42A986831533F0A05A</vt:lpwstr>
  </property>
</Properties>
</file>